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f47ed1f2569fcf/TexMex/PHS3910/Mandat_2/"/>
    </mc:Choice>
  </mc:AlternateContent>
  <xr:revisionPtr revIDLastSave="115" documentId="8_{42BEC631-70C6-46BB-AF74-96D81AD7DF1D}" xr6:coauthVersionLast="47" xr6:coauthVersionMax="47" xr10:uidLastSave="{5288DA19-C69B-40C5-BE68-1B29B43C4949}"/>
  <bookViews>
    <workbookView xWindow="-83" yWindow="-83" windowWidth="21766" windowHeight="12946" xr2:uid="{C97533B5-A15E-42E3-ABDD-52BA5A31927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J16" i="1"/>
  <c r="J15" i="1"/>
  <c r="I14" i="1"/>
  <c r="J14" i="1" s="1"/>
  <c r="J13" i="1"/>
  <c r="J12" i="1"/>
  <c r="J11" i="1"/>
  <c r="J10" i="1"/>
  <c r="J9" i="1"/>
  <c r="J8" i="1"/>
  <c r="J7" i="1"/>
  <c r="J6" i="1"/>
  <c r="J5" i="1"/>
  <c r="J3" i="1"/>
  <c r="J4" i="1"/>
  <c r="E19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D17" i="1"/>
  <c r="E3" i="1"/>
</calcChain>
</file>

<file path=xl/sharedStrings.xml><?xml version="1.0" encoding="utf-8"?>
<sst xmlns="http://schemas.openxmlformats.org/spreadsheetml/2006/main" count="42" uniqueCount="26">
  <si>
    <t>Composant</t>
  </si>
  <si>
    <t>Nombre d'unités</t>
  </si>
  <si>
    <t>Prix unitaire ($)</t>
  </si>
  <si>
    <t>Support à composant PH3V</t>
  </si>
  <si>
    <t>Base à support BA1</t>
  </si>
  <si>
    <t>Base à support BA1S</t>
  </si>
  <si>
    <t>Total ($)</t>
  </si>
  <si>
    <t>Support à réseau KM100S</t>
  </si>
  <si>
    <t>Support à laser VC1</t>
  </si>
  <si>
    <t>Fente VA100</t>
  </si>
  <si>
    <t>Support à lentille LMR05</t>
  </si>
  <si>
    <t>Poteau TR3V</t>
  </si>
  <si>
    <t>Lentille 25 mm LC1054</t>
  </si>
  <si>
    <t>Lentille 50 mm LC1439</t>
  </si>
  <si>
    <t>Filtre NE506A</t>
  </si>
  <si>
    <t>Camera CS165MU</t>
  </si>
  <si>
    <t>Réseau GR25-0605</t>
  </si>
  <si>
    <t>Fixation de base CL5</t>
  </si>
  <si>
    <t>Vis SH6MS20V</t>
  </si>
  <si>
    <t>Rondelle W8S038</t>
  </si>
  <si>
    <t>Total</t>
  </si>
  <si>
    <t>Lame de rasoir</t>
  </si>
  <si>
    <t>Boîte imprimée 3D PLA</t>
  </si>
  <si>
    <t>232.8 g</t>
  </si>
  <si>
    <t>0.03595 $/g</t>
  </si>
  <si>
    <t>différence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</si>
</sst>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9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A4310-8331-4F3D-B3D6-0987615B626F}">
  <dimension ref="B2:J20"/>
  <sheetViews>
    <sheetView tabSelected="1" workbookViewId="0">
      <selection activeCell="H20" sqref="H20"/>
    </sheetView>
  </sheetViews>
  <sheetFormatPr baseColWidth="10" defaultRowHeight="14.25" x14ac:dyDescent="0.45"/>
  <cols>
    <col min="2" max="2" width="22.1328125" customWidth="1"/>
    <col min="3" max="3" width="13.46484375" customWidth="1"/>
    <col min="4" max="4" width="12.796875" customWidth="1"/>
    <col min="5" max="5" width="12.265625" customWidth="1"/>
    <col min="7" max="7" width="22.1328125" customWidth="1"/>
    <col min="8" max="8" width="14.06640625" customWidth="1"/>
    <col min="9" max="9" width="13" customWidth="1"/>
  </cols>
  <sheetData>
    <row r="2" spans="2:10" x14ac:dyDescent="0.45">
      <c r="B2" t="s">
        <v>0</v>
      </c>
      <c r="C2" t="s">
        <v>1</v>
      </c>
      <c r="D2" t="s">
        <v>2</v>
      </c>
      <c r="E2" t="s">
        <v>6</v>
      </c>
      <c r="G2" t="s">
        <v>0</v>
      </c>
      <c r="H2" t="s">
        <v>1</v>
      </c>
      <c r="I2" t="s">
        <v>2</v>
      </c>
      <c r="J2" t="s">
        <v>6</v>
      </c>
    </row>
    <row r="3" spans="2:10" x14ac:dyDescent="0.45">
      <c r="B3" t="s">
        <v>3</v>
      </c>
      <c r="C3">
        <v>6</v>
      </c>
      <c r="D3" s="1">
        <v>41.39</v>
      </c>
      <c r="E3" s="1">
        <f>C3*D3</f>
        <v>248.34</v>
      </c>
      <c r="G3" t="s">
        <v>3</v>
      </c>
      <c r="H3">
        <v>1</v>
      </c>
      <c r="I3" s="1">
        <v>41.39</v>
      </c>
      <c r="J3" s="1">
        <f>H3*I3</f>
        <v>41.39</v>
      </c>
    </row>
    <row r="4" spans="2:10" x14ac:dyDescent="0.45">
      <c r="B4" t="s">
        <v>4</v>
      </c>
      <c r="C4">
        <v>4</v>
      </c>
      <c r="D4" s="1">
        <v>6.06</v>
      </c>
      <c r="E4" s="1">
        <f t="shared" ref="E4:E20" si="0">C4*D4</f>
        <v>24.24</v>
      </c>
      <c r="G4" t="s">
        <v>4</v>
      </c>
      <c r="H4">
        <v>1</v>
      </c>
      <c r="I4" s="1">
        <v>6.06</v>
      </c>
      <c r="J4" s="1">
        <f t="shared" ref="J4:J12" si="1">H4*I4</f>
        <v>6.06</v>
      </c>
    </row>
    <row r="5" spans="2:10" x14ac:dyDescent="0.45">
      <c r="B5" t="s">
        <v>5</v>
      </c>
      <c r="C5">
        <v>2</v>
      </c>
      <c r="D5" s="1">
        <v>5.63</v>
      </c>
      <c r="E5" s="1">
        <f t="shared" si="0"/>
        <v>11.26</v>
      </c>
      <c r="G5" t="s">
        <v>8</v>
      </c>
      <c r="H5">
        <v>1</v>
      </c>
      <c r="I5" s="1">
        <v>46.07</v>
      </c>
      <c r="J5" s="1">
        <f t="shared" si="1"/>
        <v>46.07</v>
      </c>
    </row>
    <row r="6" spans="2:10" x14ac:dyDescent="0.45">
      <c r="B6" t="s">
        <v>7</v>
      </c>
      <c r="C6">
        <v>1</v>
      </c>
      <c r="D6" s="1">
        <v>93.85</v>
      </c>
      <c r="E6" s="1">
        <f t="shared" si="0"/>
        <v>93.85</v>
      </c>
      <c r="G6" t="s">
        <v>11</v>
      </c>
      <c r="H6">
        <v>1</v>
      </c>
      <c r="I6" s="1">
        <v>16.07</v>
      </c>
      <c r="J6" s="1">
        <f t="shared" si="1"/>
        <v>16.07</v>
      </c>
    </row>
    <row r="7" spans="2:10" x14ac:dyDescent="0.45">
      <c r="B7" t="s">
        <v>8</v>
      </c>
      <c r="C7">
        <v>1</v>
      </c>
      <c r="D7" s="1">
        <v>46.07</v>
      </c>
      <c r="E7" s="1">
        <f t="shared" si="0"/>
        <v>46.07</v>
      </c>
      <c r="G7" t="s">
        <v>12</v>
      </c>
      <c r="H7">
        <v>1</v>
      </c>
      <c r="I7" s="1">
        <v>48.69</v>
      </c>
      <c r="J7" s="1">
        <f t="shared" si="1"/>
        <v>48.69</v>
      </c>
    </row>
    <row r="8" spans="2:10" x14ac:dyDescent="0.45">
      <c r="B8" t="s">
        <v>9</v>
      </c>
      <c r="C8">
        <v>1</v>
      </c>
      <c r="D8" s="1">
        <v>300.52999999999997</v>
      </c>
      <c r="E8" s="1">
        <f t="shared" si="0"/>
        <v>300.52999999999997</v>
      </c>
      <c r="G8" t="s">
        <v>13</v>
      </c>
      <c r="H8">
        <v>1</v>
      </c>
      <c r="I8" s="1">
        <v>49.61</v>
      </c>
      <c r="J8" s="1">
        <f t="shared" si="1"/>
        <v>49.61</v>
      </c>
    </row>
    <row r="9" spans="2:10" x14ac:dyDescent="0.45">
      <c r="B9" t="s">
        <v>10</v>
      </c>
      <c r="C9">
        <v>2</v>
      </c>
      <c r="D9" s="1">
        <v>16.989999999999998</v>
      </c>
      <c r="E9" s="1">
        <f t="shared" si="0"/>
        <v>33.979999999999997</v>
      </c>
      <c r="G9" t="s">
        <v>14</v>
      </c>
      <c r="H9">
        <v>1</v>
      </c>
      <c r="I9" s="1">
        <v>42.84</v>
      </c>
      <c r="J9" s="1">
        <f t="shared" si="1"/>
        <v>42.84</v>
      </c>
    </row>
    <row r="10" spans="2:10" x14ac:dyDescent="0.45">
      <c r="B10" t="s">
        <v>11</v>
      </c>
      <c r="C10">
        <v>6</v>
      </c>
      <c r="D10" s="1">
        <v>16.07</v>
      </c>
      <c r="E10" s="1">
        <f t="shared" si="0"/>
        <v>96.42</v>
      </c>
      <c r="G10" t="s">
        <v>15</v>
      </c>
      <c r="H10">
        <v>1</v>
      </c>
      <c r="I10" s="1">
        <v>479.86</v>
      </c>
      <c r="J10" s="1">
        <f t="shared" si="1"/>
        <v>479.86</v>
      </c>
    </row>
    <row r="11" spans="2:10" x14ac:dyDescent="0.45">
      <c r="B11" t="s">
        <v>12</v>
      </c>
      <c r="C11">
        <v>1</v>
      </c>
      <c r="D11" s="1">
        <v>48.69</v>
      </c>
      <c r="E11" s="1">
        <f t="shared" si="0"/>
        <v>48.69</v>
      </c>
      <c r="G11" t="s">
        <v>16</v>
      </c>
      <c r="H11">
        <v>1</v>
      </c>
      <c r="I11" s="1">
        <v>128.29</v>
      </c>
      <c r="J11" s="1">
        <f t="shared" si="1"/>
        <v>128.29</v>
      </c>
    </row>
    <row r="12" spans="2:10" x14ac:dyDescent="0.45">
      <c r="B12" t="s">
        <v>13</v>
      </c>
      <c r="C12">
        <v>1</v>
      </c>
      <c r="D12" s="1">
        <v>49.61</v>
      </c>
      <c r="E12" s="1">
        <f t="shared" si="0"/>
        <v>49.61</v>
      </c>
      <c r="G12" t="s">
        <v>21</v>
      </c>
      <c r="H12">
        <v>2</v>
      </c>
      <c r="I12" s="1">
        <v>0.19</v>
      </c>
      <c r="J12" s="1">
        <f t="shared" si="1"/>
        <v>0.38</v>
      </c>
    </row>
    <row r="13" spans="2:10" x14ac:dyDescent="0.45">
      <c r="B13" t="s">
        <v>14</v>
      </c>
      <c r="C13">
        <v>1</v>
      </c>
      <c r="D13" s="1">
        <v>42.84</v>
      </c>
      <c r="E13" s="1">
        <f t="shared" si="0"/>
        <v>42.84</v>
      </c>
      <c r="G13" t="s">
        <v>22</v>
      </c>
      <c r="H13" s="4" t="s">
        <v>23</v>
      </c>
      <c r="I13" s="4" t="s">
        <v>24</v>
      </c>
      <c r="J13" s="1">
        <f>232.8*0.03595</f>
        <v>8.3691600000000008</v>
      </c>
    </row>
    <row r="14" spans="2:10" x14ac:dyDescent="0.45">
      <c r="B14" t="s">
        <v>15</v>
      </c>
      <c r="C14">
        <v>1</v>
      </c>
      <c r="D14" s="1">
        <v>479.86</v>
      </c>
      <c r="E14" s="1">
        <f t="shared" si="0"/>
        <v>479.86</v>
      </c>
      <c r="G14" t="s">
        <v>18</v>
      </c>
      <c r="H14">
        <v>2</v>
      </c>
      <c r="I14" s="2">
        <f>19.44/5</f>
        <v>3.8880000000000003</v>
      </c>
      <c r="J14" s="1">
        <f t="shared" ref="J14:J15" si="2">H14*I14</f>
        <v>7.7760000000000007</v>
      </c>
    </row>
    <row r="15" spans="2:10" x14ac:dyDescent="0.45">
      <c r="B15" t="s">
        <v>16</v>
      </c>
      <c r="C15">
        <v>1</v>
      </c>
      <c r="D15" s="1">
        <v>128.29</v>
      </c>
      <c r="E15" s="1">
        <f t="shared" si="0"/>
        <v>128.29</v>
      </c>
      <c r="G15" t="s">
        <v>19</v>
      </c>
      <c r="H15">
        <v>2</v>
      </c>
      <c r="I15" s="2">
        <v>3.9399999999999998E-2</v>
      </c>
      <c r="J15" s="1">
        <f t="shared" si="2"/>
        <v>7.8799999999999995E-2</v>
      </c>
    </row>
    <row r="16" spans="2:10" x14ac:dyDescent="0.45">
      <c r="B16" t="s">
        <v>17</v>
      </c>
      <c r="C16">
        <v>2</v>
      </c>
      <c r="D16" s="1">
        <v>5.3</v>
      </c>
      <c r="E16" s="1">
        <f t="shared" si="0"/>
        <v>10.6</v>
      </c>
      <c r="G16" s="3" t="s">
        <v>20</v>
      </c>
      <c r="H16" s="3"/>
      <c r="I16" s="3"/>
      <c r="J16" s="1">
        <f>SUM(J3:J15)</f>
        <v>875.48395999999991</v>
      </c>
    </row>
    <row r="17" spans="2:8" x14ac:dyDescent="0.45">
      <c r="B17" t="s">
        <v>18</v>
      </c>
      <c r="C17">
        <v>10</v>
      </c>
      <c r="D17" s="2">
        <f>19.44/5</f>
        <v>3.8880000000000003</v>
      </c>
      <c r="E17" s="1">
        <f t="shared" si="0"/>
        <v>38.880000000000003</v>
      </c>
    </row>
    <row r="18" spans="2:8" x14ac:dyDescent="0.45">
      <c r="B18" t="s">
        <v>19</v>
      </c>
      <c r="C18">
        <v>10</v>
      </c>
      <c r="D18" s="2">
        <v>3.9399999999999998E-2</v>
      </c>
      <c r="E18" s="1">
        <f t="shared" si="0"/>
        <v>0.39399999999999996</v>
      </c>
    </row>
    <row r="19" spans="2:8" x14ac:dyDescent="0.45">
      <c r="B19" s="3" t="s">
        <v>20</v>
      </c>
      <c r="C19" s="3"/>
      <c r="D19" s="3"/>
      <c r="E19" s="1">
        <f>SUM(E3:E18)</f>
        <v>1653.854</v>
      </c>
      <c r="G19" t="s">
        <v>25</v>
      </c>
      <c r="H19" s="1">
        <f>E19-J16</f>
        <v>778.37004000000013</v>
      </c>
    </row>
    <row r="20" spans="2:8" x14ac:dyDescent="0.45">
      <c r="D20" s="1"/>
      <c r="E20" s="1"/>
    </row>
  </sheetData>
  <mergeCells count="2">
    <mergeCell ref="B19:D19"/>
    <mergeCell ref="G16:I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Desrochers</dc:creator>
  <cp:lastModifiedBy>Simon Desrochers</cp:lastModifiedBy>
  <dcterms:created xsi:type="dcterms:W3CDTF">2024-11-11T16:05:45Z</dcterms:created>
  <dcterms:modified xsi:type="dcterms:W3CDTF">2024-11-12T22:02:05Z</dcterms:modified>
</cp:coreProperties>
</file>